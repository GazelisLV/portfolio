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31DB40FA-A5C0-41BC-97CD-B5DAF24DC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10" i="4"/>
  <c r="B11" i="4"/>
  <c r="B12" i="4"/>
  <c r="B13" i="4"/>
  <c r="B9" i="4"/>
  <c r="E9" i="5"/>
  <c r="E5" i="5"/>
  <c r="E6" i="5"/>
  <c r="E7" i="5"/>
  <c r="E8" i="5"/>
  <c r="E10" i="5"/>
  <c r="E11" i="5"/>
  <c r="E12" i="5"/>
  <c r="E13" i="5"/>
  <c r="E14" i="5"/>
  <c r="E15" i="5"/>
  <c r="E4" i="5"/>
  <c r="F16" i="8"/>
  <c r="F14" i="8"/>
  <c r="F13" i="8"/>
  <c r="F8" i="8"/>
  <c r="F15" i="8"/>
  <c r="F7" i="8" s="1"/>
  <c r="F12" i="8"/>
  <c r="F11" i="8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J15" i="7"/>
  <c r="K10" i="7"/>
  <c r="K11" i="7"/>
  <c r="K12" i="7"/>
  <c r="K13" i="7"/>
  <c r="K14" i="7"/>
  <c r="K15" i="7"/>
  <c r="K16" i="7"/>
  <c r="K17" i="7"/>
  <c r="K18" i="7"/>
  <c r="J10" i="7"/>
  <c r="J11" i="7"/>
  <c r="J12" i="7"/>
  <c r="J13" i="7"/>
  <c r="J14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G10" i="7"/>
  <c r="G11" i="7"/>
  <c r="G12" i="7"/>
  <c r="G13" i="7"/>
  <c r="G14" i="7"/>
  <c r="G15" i="7"/>
  <c r="G16" i="7"/>
  <c r="G17" i="7"/>
  <c r="G18" i="7"/>
  <c r="F10" i="7"/>
  <c r="F11" i="7"/>
  <c r="F12" i="7"/>
  <c r="F13" i="7"/>
  <c r="F14" i="7"/>
  <c r="F15" i="7"/>
  <c r="F16" i="7"/>
  <c r="F17" i="7"/>
  <c r="F18" i="7"/>
  <c r="E10" i="7"/>
  <c r="E11" i="7"/>
  <c r="E12" i="7"/>
  <c r="E13" i="7"/>
  <c r="E14" i="7"/>
  <c r="E15" i="7"/>
  <c r="E16" i="7"/>
  <c r="E17" i="7"/>
  <c r="E18" i="7"/>
  <c r="D10" i="7"/>
  <c r="D11" i="7"/>
  <c r="D12" i="7"/>
  <c r="D13" i="7"/>
  <c r="D14" i="7"/>
  <c r="D15" i="7"/>
  <c r="D16" i="7"/>
  <c r="D17" i="7"/>
  <c r="D18" i="7"/>
  <c r="C10" i="7"/>
  <c r="C11" i="7"/>
  <c r="C12" i="7"/>
  <c r="C13" i="7"/>
  <c r="C14" i="7"/>
  <c r="C15" i="7"/>
  <c r="C16" i="7"/>
  <c r="C17" i="7"/>
  <c r="C18" i="7"/>
  <c r="B10" i="7"/>
  <c r="B11" i="7"/>
  <c r="B12" i="7"/>
  <c r="B13" i="7"/>
  <c r="B14" i="7"/>
  <c r="B15" i="7"/>
  <c r="B16" i="7"/>
  <c r="B17" i="7"/>
  <c r="B18" i="7"/>
  <c r="K9" i="7"/>
  <c r="C9" i="7"/>
  <c r="D9" i="7"/>
  <c r="E9" i="7"/>
  <c r="F9" i="7"/>
  <c r="G9" i="7"/>
  <c r="H9" i="7"/>
  <c r="I9" i="7"/>
  <c r="J9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<sst xmlns="http://schemas.openxmlformats.org/spreadsheetml/2006/main" count="54" uniqueCount="52">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</sst>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B7" sqref="B7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6" t="s">
        <v>30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IF(A4&gt;=3, 2.9*A4, 3.2*A4)</f>
        <v>3.2</v>
      </c>
    </row>
    <row r="5" spans="1:22" x14ac:dyDescent="0.25">
      <c r="A5" s="4">
        <v>2</v>
      </c>
      <c r="B5" s="24">
        <f t="shared" ref="B5:B7" si="0">IF(A5&gt;=3, 2.9*A5, 3.2*A5)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zoomScale="115" zoomScaleNormal="115" workbookViewId="0">
      <selection activeCell="L22" sqref="L22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SQRT(B$8^2+$A9^2-2*B$8*$A9*COS(24))</f>
        <v>1.817493870870549</v>
      </c>
      <c r="C9" s="31">
        <f t="shared" ref="C9:K18" si="0">SQRT(C$8^2+$A9^2-2*C$8*$A9*COS(24))</f>
        <v>2.8124458949384317</v>
      </c>
      <c r="D9" s="31">
        <f t="shared" si="0"/>
        <v>4.5295054755745756</v>
      </c>
      <c r="E9" s="31">
        <f t="shared" si="0"/>
        <v>6.4127207794012113</v>
      </c>
      <c r="F9" s="31">
        <f t="shared" si="0"/>
        <v>8.3504224884653659</v>
      </c>
      <c r="G9" s="31">
        <f t="shared" si="0"/>
        <v>10.311940829793979</v>
      </c>
      <c r="H9" s="31">
        <f t="shared" si="0"/>
        <v>12.285873661179988</v>
      </c>
      <c r="I9" s="31">
        <f t="shared" si="0"/>
        <v>14.267069059893842</v>
      </c>
      <c r="J9" s="31">
        <f t="shared" si="0"/>
        <v>16.252871361734339</v>
      </c>
      <c r="K9" s="31">
        <f>SQRT(K$8^2+$A9^2-2*K$8*$A9*COS(24))</f>
        <v>18.241776104381618</v>
      </c>
    </row>
    <row r="10" spans="1:13" x14ac:dyDescent="0.25">
      <c r="A10" s="28">
        <v>4</v>
      </c>
      <c r="B10" s="31">
        <f t="shared" ref="B10:B18" si="1">SQRT(B$8^2+$A10^2-2*B$8*$A10*COS(24))</f>
        <v>3.688708167001562</v>
      </c>
      <c r="C10" s="31">
        <f t="shared" si="0"/>
        <v>3.8496368431206691</v>
      </c>
      <c r="D10" s="31">
        <f t="shared" si="0"/>
        <v>4.9023300283151192</v>
      </c>
      <c r="E10" s="31">
        <f t="shared" si="0"/>
        <v>6.4223029817292305</v>
      </c>
      <c r="F10" s="31">
        <f t="shared" si="0"/>
        <v>8.1522457931380004</v>
      </c>
      <c r="G10" s="31">
        <f t="shared" si="0"/>
        <v>9.9835989179425813</v>
      </c>
      <c r="H10" s="31">
        <f t="shared" si="0"/>
        <v>11.86951486948613</v>
      </c>
      <c r="I10" s="31">
        <f t="shared" si="0"/>
        <v>13.78762195302585</v>
      </c>
      <c r="J10" s="31">
        <f t="shared" si="0"/>
        <v>15.726145586321158</v>
      </c>
      <c r="K10" s="31">
        <f t="shared" si="0"/>
        <v>17.678370707867185</v>
      </c>
    </row>
    <row r="11" spans="1:13" x14ac:dyDescent="0.25">
      <c r="A11" s="28">
        <v>6</v>
      </c>
      <c r="B11" s="31">
        <f t="shared" si="1"/>
        <v>5.6488805892810339</v>
      </c>
      <c r="C11" s="31">
        <f t="shared" si="0"/>
        <v>5.4524816126116473</v>
      </c>
      <c r="D11" s="31">
        <f t="shared" si="0"/>
        <v>5.9623199813311079</v>
      </c>
      <c r="E11" s="31">
        <f t="shared" si="0"/>
        <v>7.0263051018079379</v>
      </c>
      <c r="F11" s="31">
        <f t="shared" si="0"/>
        <v>8.4373376848152954</v>
      </c>
      <c r="G11" s="31">
        <f t="shared" si="0"/>
        <v>10.050292086875704</v>
      </c>
      <c r="H11" s="31">
        <f t="shared" si="0"/>
        <v>11.782532616353263</v>
      </c>
      <c r="I11" s="31">
        <f t="shared" si="0"/>
        <v>13.588516426723727</v>
      </c>
      <c r="J11" s="31">
        <f t="shared" si="0"/>
        <v>15.442392382764162</v>
      </c>
      <c r="K11" s="31">
        <f t="shared" si="0"/>
        <v>17.328796447738796</v>
      </c>
    </row>
    <row r="12" spans="1:13" x14ac:dyDescent="0.25">
      <c r="A12" s="28">
        <v>8</v>
      </c>
      <c r="B12" s="31">
        <f t="shared" si="1"/>
        <v>7.629753330390705</v>
      </c>
      <c r="C12" s="31">
        <f t="shared" si="0"/>
        <v>7.2553020369812407</v>
      </c>
      <c r="D12" s="31">
        <f t="shared" si="0"/>
        <v>7.4206252710294063</v>
      </c>
      <c r="E12" s="31">
        <f t="shared" si="0"/>
        <v>8.0927097549743081</v>
      </c>
      <c r="F12" s="31">
        <f t="shared" si="0"/>
        <v>9.1606889993860428</v>
      </c>
      <c r="G12" s="31">
        <f t="shared" si="0"/>
        <v>10.50449878426803</v>
      </c>
      <c r="H12" s="31">
        <f t="shared" si="0"/>
        <v>12.03207240976818</v>
      </c>
      <c r="I12" s="31">
        <f t="shared" si="0"/>
        <v>13.681996865922779</v>
      </c>
      <c r="J12" s="31">
        <f t="shared" si="0"/>
        <v>15.415035193094333</v>
      </c>
      <c r="K12" s="31">
        <f t="shared" si="0"/>
        <v>17.206091414657568</v>
      </c>
    </row>
    <row r="13" spans="1:13" x14ac:dyDescent="0.25">
      <c r="A13" s="28">
        <v>10</v>
      </c>
      <c r="B13" s="31">
        <f t="shared" si="1"/>
        <v>9.6185456204802637</v>
      </c>
      <c r="C13" s="31">
        <f t="shared" si="0"/>
        <v>9.1405284070331607</v>
      </c>
      <c r="D13" s="31">
        <f t="shared" si="0"/>
        <v>9.0874693543527449</v>
      </c>
      <c r="E13" s="31">
        <f t="shared" si="0"/>
        <v>9.4665167285977176</v>
      </c>
      <c r="F13" s="31">
        <f t="shared" si="0"/>
        <v>10.229749688009992</v>
      </c>
      <c r="G13" s="31">
        <f t="shared" si="0"/>
        <v>11.299584876705014</v>
      </c>
      <c r="H13" s="31">
        <f t="shared" si="0"/>
        <v>12.59815296352528</v>
      </c>
      <c r="I13" s="31">
        <f t="shared" si="0"/>
        <v>14.06222947469216</v>
      </c>
      <c r="J13" s="31">
        <f t="shared" si="0"/>
        <v>15.645419058159517</v>
      </c>
      <c r="K13" s="31">
        <f t="shared" si="0"/>
        <v>17.315079474606552</v>
      </c>
    </row>
    <row r="14" spans="1:13" x14ac:dyDescent="0.25">
      <c r="A14" s="28">
        <v>12</v>
      </c>
      <c r="B14" s="31">
        <f t="shared" si="1"/>
        <v>11.611188734316228</v>
      </c>
      <c r="C14" s="31">
        <f t="shared" si="0"/>
        <v>11.066124501004687</v>
      </c>
      <c r="D14" s="31">
        <f t="shared" si="0"/>
        <v>10.867314255121196</v>
      </c>
      <c r="E14" s="31">
        <f t="shared" si="0"/>
        <v>11.033491141401461</v>
      </c>
      <c r="F14" s="31">
        <f t="shared" si="0"/>
        <v>11.548910529362008</v>
      </c>
      <c r="G14" s="31">
        <f t="shared" si="0"/>
        <v>12.369993616127406</v>
      </c>
      <c r="H14" s="31">
        <f t="shared" si="0"/>
        <v>13.440838876753821</v>
      </c>
      <c r="I14" s="31">
        <f t="shared" si="0"/>
        <v>14.706990084945359</v>
      </c>
      <c r="J14" s="31">
        <f t="shared" si="0"/>
        <v>16.122498720933589</v>
      </c>
      <c r="K14" s="31">
        <f t="shared" si="0"/>
        <v>17.651469419125689</v>
      </c>
    </row>
    <row r="15" spans="1:13" x14ac:dyDescent="0.25">
      <c r="A15" s="28">
        <v>14</v>
      </c>
      <c r="B15" s="31">
        <f t="shared" si="1"/>
        <v>13.605990878821141</v>
      </c>
      <c r="C15" s="31">
        <f t="shared" si="0"/>
        <v>13.014183162369134</v>
      </c>
      <c r="D15" s="31">
        <f t="shared" si="0"/>
        <v>12.712786436215328</v>
      </c>
      <c r="E15" s="31">
        <f t="shared" si="0"/>
        <v>12.722457096093843</v>
      </c>
      <c r="F15" s="31">
        <f t="shared" si="0"/>
        <v>13.042503216448779</v>
      </c>
      <c r="G15" s="31">
        <f t="shared" si="0"/>
        <v>13.65111225286075</v>
      </c>
      <c r="H15" s="31">
        <f t="shared" si="0"/>
        <v>14.512024025935634</v>
      </c>
      <c r="I15" s="31">
        <f t="shared" si="0"/>
        <v>15.58347897353031</v>
      </c>
      <c r="J15" s="31">
        <f>SQRT(J$8^2+$A15^2-2*J$8*$A15*COS(24))</f>
        <v>16.825302152044387</v>
      </c>
      <c r="K15" s="31">
        <f t="shared" si="0"/>
        <v>18.202658270063679</v>
      </c>
    </row>
    <row r="16" spans="1:13" x14ac:dyDescent="0.25">
      <c r="A16" s="28">
        <v>16</v>
      </c>
      <c r="B16" s="31">
        <f t="shared" si="1"/>
        <v>15.60212395045034</v>
      </c>
      <c r="C16" s="31">
        <f t="shared" si="0"/>
        <v>14.975941215684852</v>
      </c>
      <c r="D16" s="31">
        <f t="shared" si="0"/>
        <v>14.599019104928951</v>
      </c>
      <c r="E16" s="31">
        <f t="shared" si="0"/>
        <v>14.49082131407715</v>
      </c>
      <c r="F16" s="31">
        <f t="shared" si="0"/>
        <v>14.657300088588787</v>
      </c>
      <c r="G16" s="31">
        <f t="shared" si="0"/>
        <v>15.089366766613404</v>
      </c>
      <c r="H16" s="31">
        <f t="shared" si="0"/>
        <v>15.765200060506979</v>
      </c>
      <c r="I16" s="31">
        <f t="shared" si="0"/>
        <v>16.655151649812183</v>
      </c>
      <c r="J16" s="31">
        <f t="shared" si="0"/>
        <v>17.727002566950613</v>
      </c>
      <c r="K16" s="31">
        <f t="shared" si="0"/>
        <v>18.949911966526543</v>
      </c>
    </row>
    <row r="17" spans="1:11" x14ac:dyDescent="0.25">
      <c r="A17" s="28">
        <v>18</v>
      </c>
      <c r="B17" s="31">
        <f t="shared" si="1"/>
        <v>17.599135084880398</v>
      </c>
      <c r="C17" s="31">
        <f t="shared" si="0"/>
        <v>16.946641767843101</v>
      </c>
      <c r="D17" s="31">
        <f t="shared" si="0"/>
        <v>16.512049499663586</v>
      </c>
      <c r="E17" s="31">
        <f t="shared" si="0"/>
        <v>16.312783028995291</v>
      </c>
      <c r="F17" s="31">
        <f t="shared" si="0"/>
        <v>16.357444837834944</v>
      </c>
      <c r="G17" s="31">
        <f t="shared" si="0"/>
        <v>16.644071409800823</v>
      </c>
      <c r="H17" s="31">
        <f t="shared" si="0"/>
        <v>17.160542665262234</v>
      </c>
      <c r="I17" s="31">
        <f t="shared" si="0"/>
        <v>17.886959943993325</v>
      </c>
      <c r="J17" s="31">
        <f t="shared" si="0"/>
        <v>18.799001237027404</v>
      </c>
      <c r="K17" s="31">
        <f t="shared" si="0"/>
        <v>19.871123747324763</v>
      </c>
    </row>
    <row r="18" spans="1:11" x14ac:dyDescent="0.25">
      <c r="A18" s="28">
        <v>20</v>
      </c>
      <c r="B18" s="31">
        <f t="shared" si="1"/>
        <v>19.596755846479287</v>
      </c>
      <c r="C18" s="31">
        <f t="shared" si="0"/>
        <v>18.923491197967682</v>
      </c>
      <c r="D18" s="31">
        <f t="shared" si="0"/>
        <v>18.443540835007809</v>
      </c>
      <c r="E18" s="31">
        <f t="shared" si="0"/>
        <v>18.172228205303853</v>
      </c>
      <c r="F18" s="31">
        <f t="shared" si="0"/>
        <v>18.11892815148515</v>
      </c>
      <c r="G18" s="31">
        <f t="shared" si="0"/>
        <v>18.285547210070618</v>
      </c>
      <c r="H18" s="31">
        <f t="shared" si="0"/>
        <v>18.66619715380617</v>
      </c>
      <c r="I18" s="31">
        <f t="shared" si="0"/>
        <v>19.248184215603345</v>
      </c>
      <c r="J18" s="31">
        <f t="shared" si="0"/>
        <v>20.013952008807308</v>
      </c>
      <c r="K18" s="31">
        <f t="shared" si="0"/>
        <v>20.943351079134455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I8" sqref="I8"/>
    </sheetView>
  </sheetViews>
  <sheetFormatPr defaultColWidth="8.85546875" defaultRowHeight="18" x14ac:dyDescent="0.25"/>
  <cols>
    <col min="1" max="3" width="8.85546875" style="6"/>
    <col min="4" max="4" width="12.85546875" style="6" customWidth="1"/>
    <col min="5" max="5" width="10.85546875" style="6" customWidth="1"/>
    <col min="6" max="6" width="13.4257812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6" t="s">
        <v>32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str">
        <f>IF(A5+B5&gt;C5, "ir spēkā", "nav spēkā")</f>
        <v>ir spēkā</v>
      </c>
      <c r="E5" s="22" t="str">
        <f>IF(A5+C5&gt;B5, "ir spēkā", "nav spēkā")</f>
        <v>ir spēkā</v>
      </c>
      <c r="F5" s="22" t="str">
        <f>IF(B5+C5&gt;A5, "ir spēkā", "nav spēkā")</f>
        <v>ir spēkā</v>
      </c>
      <c r="G5" s="23" t="str">
        <f>IF(AND(A5+B5&gt;C5,A5+C5&gt;B5,B5+C5&gt;A5),"jā","nē")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str">
        <f t="shared" ref="D6:D8" si="0">IF(A6+B6&gt;C6, "ir spēkā", "nav spēkā")</f>
        <v>ir spēkā</v>
      </c>
      <c r="E6" s="22" t="str">
        <f t="shared" ref="E6:E8" si="1">IF(A6+C6&gt;B6, "ir spēkā", "nav spēkā")</f>
        <v>ir spēkā</v>
      </c>
      <c r="F6" s="22" t="str">
        <f t="shared" ref="F6:F8" si="2">IF(B6+C6&gt;A6, "ir spēkā", "nav spēkā")</f>
        <v>nav spēkā</v>
      </c>
      <c r="G6" s="23" t="str">
        <f t="shared" ref="G6:G8" si="3">IF(AND(A6+B6&gt;C6,A6+C6&gt;B6,B6+C6&gt;A6),"jā","nē")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str">
        <f t="shared" si="0"/>
        <v>nav spēkā</v>
      </c>
      <c r="E7" s="22" t="str">
        <f t="shared" si="1"/>
        <v>ir spēkā</v>
      </c>
      <c r="F7" s="22" t="str">
        <f t="shared" si="2"/>
        <v>ir spēkā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str">
        <f t="shared" si="0"/>
        <v>ir spēkā</v>
      </c>
      <c r="E8" s="22" t="str">
        <f t="shared" si="1"/>
        <v>ir spēkā</v>
      </c>
      <c r="F8" s="22" t="str">
        <f t="shared" si="2"/>
        <v>ir spēkā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G12" sqref="G12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6" t="s">
        <v>33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IF(OR(C4="a", C4="e", C4="o"), A4, D4)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IF(OR(C5="a", C5="e", C5="o"), A5, D5)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>IF(OR(C9="a", C9="e", C9="o"), A9, D9)</f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6" t="s">
        <v>34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 t="shared" ref="B4:B8" si="0">IF(AND(RIGHT(A4,1)="1", A4&lt;&gt;11),"cents","centi")</f>
        <v>centi</v>
      </c>
    </row>
    <row r="5" spans="1:22" x14ac:dyDescent="0.25">
      <c r="A5" s="8">
        <v>1</v>
      </c>
      <c r="B5" s="23" t="str">
        <f t="shared" si="0"/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>IF(AND(RIGHT(A9,1)="1", A9&lt;&gt;11),"cents","centi")</f>
        <v>centi</v>
      </c>
    </row>
    <row r="10" spans="1:22" x14ac:dyDescent="0.25">
      <c r="A10" s="8">
        <v>12</v>
      </c>
      <c r="B10" s="23" t="str">
        <f t="shared" ref="B10:B13" si="1">IF(AND(RIGHT(A10,1)="1", A10&lt;&gt;11),"cents","centi")</f>
        <v>centi</v>
      </c>
    </row>
    <row r="11" spans="1:22" x14ac:dyDescent="0.25">
      <c r="A11" s="8">
        <v>21</v>
      </c>
      <c r="B11" s="23" t="str">
        <f t="shared" si="1"/>
        <v>cents</v>
      </c>
    </row>
    <row r="12" spans="1:22" x14ac:dyDescent="0.25">
      <c r="A12" s="8">
        <v>99</v>
      </c>
      <c r="B12" s="23" t="str">
        <f t="shared" si="1"/>
        <v>centi</v>
      </c>
    </row>
    <row r="13" spans="1:22" x14ac:dyDescent="0.25">
      <c r="A13" s="8">
        <v>91</v>
      </c>
      <c r="B13" s="23" t="str">
        <f t="shared" si="1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27" sqref="F27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4" t="s">
        <v>49</v>
      </c>
      <c r="B3" s="44"/>
      <c r="C3" s="44"/>
      <c r="D3" s="44"/>
      <c r="E3" s="44"/>
      <c r="F3" s="44"/>
      <c r="G3" s="44"/>
      <c r="H3" s="44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5">
        <f>F16-F15</f>
        <v>2000.0000000000005</v>
      </c>
    </row>
    <row r="8" spans="1:8" ht="18" customHeight="1" x14ac:dyDescent="0.25">
      <c r="A8" s="45" t="s">
        <v>46</v>
      </c>
      <c r="B8" s="45"/>
      <c r="C8" s="45"/>
      <c r="F8" s="31">
        <f>B2*B2*2+(F14-F13)*2+F11*B2*2+F12*B2*2</f>
        <v>1165.685424949238</v>
      </c>
    </row>
    <row r="9" spans="1:8" ht="18" customHeight="1" x14ac:dyDescent="0.25"/>
    <row r="10" spans="1:8" ht="18" customHeight="1" x14ac:dyDescent="0.25">
      <c r="A10" s="45" t="s">
        <v>45</v>
      </c>
      <c r="B10" s="45"/>
      <c r="C10" s="45"/>
    </row>
    <row r="11" spans="1:8" ht="18" customHeight="1" x14ac:dyDescent="0.25">
      <c r="A11" s="45" t="s">
        <v>44</v>
      </c>
      <c r="B11" s="45"/>
      <c r="C11" s="45"/>
      <c r="F11" s="35">
        <f>SQRT(B2^2/2)</f>
        <v>7.0710678118654755</v>
      </c>
    </row>
    <row r="12" spans="1:8" ht="18" customHeight="1" x14ac:dyDescent="0.25">
      <c r="A12" s="45" t="s">
        <v>43</v>
      </c>
      <c r="B12" s="45"/>
      <c r="C12" s="45"/>
      <c r="F12" s="35">
        <f>SQRT((3*B2)^2/2)</f>
        <v>21.213203435596427</v>
      </c>
    </row>
    <row r="13" spans="1:8" ht="18" customHeight="1" x14ac:dyDescent="0.25">
      <c r="A13" s="45" t="s">
        <v>42</v>
      </c>
      <c r="B13" s="45"/>
      <c r="C13" s="45"/>
      <c r="F13" s="31">
        <f>F11*F11/2</f>
        <v>25.000000000000004</v>
      </c>
    </row>
    <row r="14" spans="1:8" ht="18" customHeight="1" x14ac:dyDescent="0.25">
      <c r="A14" s="45" t="s">
        <v>41</v>
      </c>
      <c r="B14" s="45"/>
      <c r="C14" s="45"/>
      <c r="F14" s="31">
        <f>F12*F12/2</f>
        <v>225.00000000000003</v>
      </c>
    </row>
    <row r="15" spans="1:8" ht="18" customHeight="1" x14ac:dyDescent="0.25">
      <c r="A15" s="45" t="s">
        <v>40</v>
      </c>
      <c r="B15" s="45"/>
      <c r="C15" s="45"/>
      <c r="D15" s="45"/>
      <c r="E15" s="46"/>
      <c r="F15" s="35">
        <f>F13*B2</f>
        <v>250.00000000000003</v>
      </c>
    </row>
    <row r="16" spans="1:8" ht="18" customHeight="1" x14ac:dyDescent="0.25">
      <c r="A16" s="45" t="s">
        <v>39</v>
      </c>
      <c r="B16" s="45"/>
      <c r="C16" s="45"/>
      <c r="F16" s="35">
        <f>F14*B2</f>
        <v>2250.0000000000005</v>
      </c>
    </row>
    <row r="19" spans="1:3" ht="19.5" x14ac:dyDescent="0.25">
      <c r="A19" s="45"/>
      <c r="B19" s="45"/>
      <c r="C19" s="45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Roberts Misus</cp:lastModifiedBy>
  <dcterms:created xsi:type="dcterms:W3CDTF">2021-10-27T13:59:32Z</dcterms:created>
  <dcterms:modified xsi:type="dcterms:W3CDTF">2025-12-09T15:08:30Z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